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5" windowWidth="20115" windowHeight="7170"/>
  </bookViews>
  <sheets>
    <sheet name="ELIMINADOS DE ADMITIDOS" sheetId="1" r:id="rId1"/>
    <sheet name="Repetidos con distinta nriprs" sheetId="2" r:id="rId2"/>
    <sheet name="Repetidos en SMA y no en SNIES" sheetId="3" r:id="rId3"/>
    <sheet name="aparecen en los nuevo solamente" sheetId="4" r:id="rId4"/>
    <sheet name="Hoja3" sheetId="5" r:id="rId5"/>
  </sheets>
  <calcPr calcId="144525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1" i="3"/>
  <c r="K5" i="1" l="1"/>
  <c r="K4" i="1" l="1"/>
</calcChain>
</file>

<file path=xl/sharedStrings.xml><?xml version="1.0" encoding="utf-8"?>
<sst xmlns="http://schemas.openxmlformats.org/spreadsheetml/2006/main" count="438" uniqueCount="203">
  <si>
    <t>CC</t>
  </si>
  <si>
    <t>EBLIN ESTELA</t>
  </si>
  <si>
    <t>CONDE ARRIETA</t>
  </si>
  <si>
    <t xml:space="preserve">ESPECIALIZACION EN INGENIERIA DE VIAS TERRESTRES                                                    </t>
  </si>
  <si>
    <t xml:space="preserve">Facturado      </t>
  </si>
  <si>
    <t>ELIMINAR DE ADMITIDOS YA QUE APARECE 2 VECES</t>
  </si>
  <si>
    <t>LUCELLYS IRINA</t>
  </si>
  <si>
    <t>SIERRA MARQUEZ</t>
  </si>
  <si>
    <t xml:space="preserve">DOCTORADO EN TOXICOLOGIA AMBIENTAL                                                                  </t>
  </si>
  <si>
    <t>PRP</t>
  </si>
  <si>
    <t xml:space="preserve">Admitido ..    </t>
  </si>
  <si>
    <t xml:space="preserve">CC6470179DOCTORADO EN TOXICOLOGIA AMBIENTAL                                                                  </t>
  </si>
  <si>
    <t>VICKY YULIETH</t>
  </si>
  <si>
    <t xml:space="preserve">ESPECIALIZACION EN CIENCIAS PENALES Y CRIMINOLOGICAS                                                </t>
  </si>
  <si>
    <t>JUAN PABLO</t>
  </si>
  <si>
    <t>RUIZ GARCIA</t>
  </si>
  <si>
    <t xml:space="preserve">ADMINISTRACION DE EMPRESAS DISTANCIA - CERETÃ‰                                                       </t>
  </si>
  <si>
    <t xml:space="preserve">ADMINISTRACION DE EMPRESAS DISTANCIA - MAGANGUE                                                     </t>
  </si>
  <si>
    <t>DANIEL ENRIQUE</t>
  </si>
  <si>
    <t xml:space="preserve">ADMINISTRACION FINANCIERA - SAN JUAN NEPOMUCENO                                                     </t>
  </si>
  <si>
    <t xml:space="preserve">CC  </t>
  </si>
  <si>
    <t>ANDRES DE JESUS</t>
  </si>
  <si>
    <t>FONSECA HOYOS</t>
  </si>
  <si>
    <t xml:space="preserve">MAESTRIA EN CIENCIAS FARMACEUTICAS                                                                  </t>
  </si>
  <si>
    <t>agnprs</t>
  </si>
  <si>
    <t>prdprs</t>
  </si>
  <si>
    <t>ideprs</t>
  </si>
  <si>
    <t>nriprs</t>
  </si>
  <si>
    <t>snepgm</t>
  </si>
  <si>
    <t>nomprs</t>
  </si>
  <si>
    <t>apeprs</t>
  </si>
  <si>
    <t>nompgm</t>
  </si>
  <si>
    <t>codcnv</t>
  </si>
  <si>
    <t>stddbi</t>
  </si>
  <si>
    <t>REPETIDOS</t>
  </si>
  <si>
    <t xml:space="preserve">TI  </t>
  </si>
  <si>
    <t>ADRIANA PATRICIA</t>
  </si>
  <si>
    <t>PINEDA JORGE</t>
  </si>
  <si>
    <t xml:space="preserve">ADRIANA PATRICIAPINEDA JORGEADMINISTRACION DE EMPRESAS DISTANCIA - MAGANGUE                                                     </t>
  </si>
  <si>
    <t>ALEXANDRA MARIA</t>
  </si>
  <si>
    <t>DIAZ CASTRO</t>
  </si>
  <si>
    <t xml:space="preserve">INGENIERIA DE SISTEMAS - SAN JUAN NEPOMUCENO                                                        </t>
  </si>
  <si>
    <t>ALVARO JOSE</t>
  </si>
  <si>
    <t>VIDES CARRIAZO</t>
  </si>
  <si>
    <t xml:space="preserve">TECNICA PROFESIONAL EN PROCESOS DE GESTION PUBLICA - MAGANGUE                                       </t>
  </si>
  <si>
    <t>ANA VERONICA</t>
  </si>
  <si>
    <t>MONTAÃ‘O CHAMORRO</t>
  </si>
  <si>
    <t xml:space="preserve">MAESTRIA EN CONFLICTO SOCIAL Y CONSTRUCCION DE PAZ                                                  </t>
  </si>
  <si>
    <t>CARLOS ANDRES</t>
  </si>
  <si>
    <t>BRUNO PEÃ‘A</t>
  </si>
  <si>
    <t xml:space="preserve">INGENIERIA DE SISTEMAS - CERETÃ‰                                                                     </t>
  </si>
  <si>
    <t>CARLOS EDUARDO</t>
  </si>
  <si>
    <t>OYOLA PATERNINA</t>
  </si>
  <si>
    <t>DEIMER  DAVID</t>
  </si>
  <si>
    <t>CUELLO SPRENTT</t>
  </si>
  <si>
    <t xml:space="preserve">ADMINISTRACION FINANCIERA - MAGANGUE                                                                </t>
  </si>
  <si>
    <t>ERIKA PATRICIA</t>
  </si>
  <si>
    <t>AVENDAÃ‘O OSPINO</t>
  </si>
  <si>
    <t xml:space="preserve">ESPECIALIZACION EN GESTION DEL RIESGO LABORAL                                                       </t>
  </si>
  <si>
    <t>HEIDY</t>
  </si>
  <si>
    <t>VELEZ ORTIZ</t>
  </si>
  <si>
    <t>HEINER DANIEL</t>
  </si>
  <si>
    <t>BORNACHERA CERPA</t>
  </si>
  <si>
    <t>JEISSON RAFAEL</t>
  </si>
  <si>
    <t>MADERA MEDINA</t>
  </si>
  <si>
    <t>JESUS MIGUEL</t>
  </si>
  <si>
    <t>ROQUEME SIERRA</t>
  </si>
  <si>
    <t xml:space="preserve">ADMINISTRACION FINANCIERA - CERETÃ‰                                                                  </t>
  </si>
  <si>
    <t>JOSE JAVIER</t>
  </si>
  <si>
    <t>CARDENAS RICARDO</t>
  </si>
  <si>
    <t xml:space="preserve">JOSE JAVIERCARDENAS RICARDOADMINISTRACION DE EMPRESAS DISTANCIA - CERETÃ‰                                                       </t>
  </si>
  <si>
    <t>JOSE MANUEL</t>
  </si>
  <si>
    <t>LUNA JIMENEZ</t>
  </si>
  <si>
    <t xml:space="preserve">INGENIERIA DE SISTEMAS - MAGANGUE                                                                   </t>
  </si>
  <si>
    <t xml:space="preserve">JOSE MANUELLUNA JIMENEZINGENIERIA DE SISTEMAS - MAGANGUE                                                                   </t>
  </si>
  <si>
    <t>JULIA INES</t>
  </si>
  <si>
    <t>BARROSO HOYOS</t>
  </si>
  <si>
    <t xml:space="preserve">ADMINISTRACION DE EMPRESAS DISTANCIA - LORICA                                                       </t>
  </si>
  <si>
    <t>JULIAN ALBERTO</t>
  </si>
  <si>
    <t>CARDENAS MARTINEZ</t>
  </si>
  <si>
    <t xml:space="preserve">ADMINISTRACION FINANCIERA - CARMEN DE BOLIVAR                                                       </t>
  </si>
  <si>
    <t>KELVIN ENRIQUE</t>
  </si>
  <si>
    <t>AGRESOTT MARSIGLIA</t>
  </si>
  <si>
    <t xml:space="preserve">ESPECIALIZACION EN GERENCIA EN SALUD                                                                </t>
  </si>
  <si>
    <t>LEYSHON DANIEL</t>
  </si>
  <si>
    <t>ANICHIARICO CABRERA</t>
  </si>
  <si>
    <t>LORAINE CANDELARIA</t>
  </si>
  <si>
    <t>DIAZ DIAZ</t>
  </si>
  <si>
    <t>MANUEL JOAQUIN</t>
  </si>
  <si>
    <t>MORENO TAPIA</t>
  </si>
  <si>
    <t>OSNERIS ANDRES</t>
  </si>
  <si>
    <t>PALACIO TRUJILLO</t>
  </si>
  <si>
    <t xml:space="preserve">INGENIERIA DE SISTEMAS - CARMEN DE BOLIVAR                                                          </t>
  </si>
  <si>
    <t>ROGER EDUARDO</t>
  </si>
  <si>
    <t>BALDOVINO DIAZ</t>
  </si>
  <si>
    <t xml:space="preserve">ESPECIALIZACION EN MATEMATICA AVANZADA                                                              </t>
  </si>
  <si>
    <t>WENDY JOHANNA</t>
  </si>
  <si>
    <t>ACUÃ‘A PEREZ</t>
  </si>
  <si>
    <t xml:space="preserve">ESPECIALIZACION EN GESTION DE LA CALIDAD Y AUDITORIA EN SALUD                                       </t>
  </si>
  <si>
    <t>YAIR ALFREDO</t>
  </si>
  <si>
    <t>ARRIETA PETRO</t>
  </si>
  <si>
    <t xml:space="preserve">YAIR ALFREDOARRIETA PETROADMINISTRACION FINANCIERA - CERETÃ‰                                                                  </t>
  </si>
  <si>
    <t>YHEILA</t>
  </si>
  <si>
    <t>SIMANCA MARTINEZ</t>
  </si>
  <si>
    <t xml:space="preserve">YHEILASIMANCA MARTINEZADMINISTRACION DE EMPRESAS DISTANCIA - MAGANGUE                                                     </t>
  </si>
  <si>
    <t>LUIS EDUARDO</t>
  </si>
  <si>
    <t>CASTRILLO VIVANCO</t>
  </si>
  <si>
    <t>NEIDILIA</t>
  </si>
  <si>
    <t xml:space="preserve">AYOLA PEREZ </t>
  </si>
  <si>
    <t xml:space="preserve">MAESTRIA EN DERECHO                                                                                 </t>
  </si>
  <si>
    <t>ADRIANA ROCIO</t>
  </si>
  <si>
    <t>ALVAREZ ORTEGA</t>
  </si>
  <si>
    <t>NEYLA DE JESUS</t>
  </si>
  <si>
    <t>SABBAG DIAZ</t>
  </si>
  <si>
    <t>ZOA ESTER</t>
  </si>
  <si>
    <t>PEREZ TORRES</t>
  </si>
  <si>
    <t>ALBINA MARIA</t>
  </si>
  <si>
    <t>BECHARA LOPERA</t>
  </si>
  <si>
    <t>CECILIA ELENA</t>
  </si>
  <si>
    <t>JARABA BARRIOS</t>
  </si>
  <si>
    <t>TERESA DEL SOCORRO</t>
  </si>
  <si>
    <t>LASTRE RODRIGUEZ</t>
  </si>
  <si>
    <t>DANILO JESÃšS</t>
  </si>
  <si>
    <t>CONTRERAS GUZMÃN</t>
  </si>
  <si>
    <t>ARQUIMEDES</t>
  </si>
  <si>
    <t>CONTRERAS CAMPO</t>
  </si>
  <si>
    <t>MONICA PATRICIA</t>
  </si>
  <si>
    <t>PAYARES ALMANZA</t>
  </si>
  <si>
    <t>WENDY</t>
  </si>
  <si>
    <t>ESCUDERO SABOGAL</t>
  </si>
  <si>
    <t>EDWIN</t>
  </si>
  <si>
    <t>MIRANDA GAVIRIA</t>
  </si>
  <si>
    <t>LADY CAROLA</t>
  </si>
  <si>
    <t>BENITEZ PESTANA</t>
  </si>
  <si>
    <t>ERICK</t>
  </si>
  <si>
    <t>RIVERA MARTINEZ</t>
  </si>
  <si>
    <t>LUIS ANDRES</t>
  </si>
  <si>
    <t>JIMENEZ GUTIERREZ</t>
  </si>
  <si>
    <t>ELKIN ANDRES</t>
  </si>
  <si>
    <t>PEÃ‘A WILCHES</t>
  </si>
  <si>
    <t>SERRANO SANTOS</t>
  </si>
  <si>
    <t>DUVAN</t>
  </si>
  <si>
    <t>GONZALEZ BELEÃ‘O</t>
  </si>
  <si>
    <t>LUIS</t>
  </si>
  <si>
    <t>EDUARDO</t>
  </si>
  <si>
    <t>ADRIANA</t>
  </si>
  <si>
    <t>ROCIO</t>
  </si>
  <si>
    <t>NEYLA</t>
  </si>
  <si>
    <t>JESUS</t>
  </si>
  <si>
    <t>ZOA</t>
  </si>
  <si>
    <t>ESTER</t>
  </si>
  <si>
    <t>ALBINA</t>
  </si>
  <si>
    <t>MARIA</t>
  </si>
  <si>
    <t>CECILIA</t>
  </si>
  <si>
    <t>ELENA</t>
  </si>
  <si>
    <t>TERESA</t>
  </si>
  <si>
    <t>DANILO</t>
  </si>
  <si>
    <t>MONICA</t>
  </si>
  <si>
    <t>PATRICIA</t>
  </si>
  <si>
    <t>LADY</t>
  </si>
  <si>
    <t>CAROLA</t>
  </si>
  <si>
    <t>ANDRES</t>
  </si>
  <si>
    <t>ELKIN</t>
  </si>
  <si>
    <t>VICKY</t>
  </si>
  <si>
    <t>YULIETH</t>
  </si>
  <si>
    <t>DE JESUS</t>
  </si>
  <si>
    <t>DEL SOCORRO</t>
  </si>
  <si>
    <t>CASTRILLO</t>
  </si>
  <si>
    <t>VIVANCO</t>
  </si>
  <si>
    <t>AYOLA</t>
  </si>
  <si>
    <t>PEREZ</t>
  </si>
  <si>
    <t>ALVAREZ</t>
  </si>
  <si>
    <t>ORTEGA</t>
  </si>
  <si>
    <t>SABBAG</t>
  </si>
  <si>
    <t>DIAZ</t>
  </si>
  <si>
    <t>TORRES</t>
  </si>
  <si>
    <t>BECHARA</t>
  </si>
  <si>
    <t>LOPERA</t>
  </si>
  <si>
    <t>JARABA</t>
  </si>
  <si>
    <t>BARRIOS</t>
  </si>
  <si>
    <t>LASTRE</t>
  </si>
  <si>
    <t>RODRIGUEZ</t>
  </si>
  <si>
    <t>CONTRERAS</t>
  </si>
  <si>
    <t>CAMPO</t>
  </si>
  <si>
    <t>PAYARES</t>
  </si>
  <si>
    <t>ALMANZA</t>
  </si>
  <si>
    <t>ESCUDERO</t>
  </si>
  <si>
    <t>SABOGAL</t>
  </si>
  <si>
    <t>MIRANDA</t>
  </si>
  <si>
    <t>GAVIRIA</t>
  </si>
  <si>
    <t>BENITEZ</t>
  </si>
  <si>
    <t>PESTANA</t>
  </si>
  <si>
    <t>RIVERA</t>
  </si>
  <si>
    <t>MARTINEZ</t>
  </si>
  <si>
    <t>JIMENEZ</t>
  </si>
  <si>
    <t>GUTIERREZ</t>
  </si>
  <si>
    <t>WILCHES</t>
  </si>
  <si>
    <t>SERRANO</t>
  </si>
  <si>
    <t>SANTOS</t>
  </si>
  <si>
    <t>GONZALEZ</t>
  </si>
  <si>
    <t>PENA</t>
  </si>
  <si>
    <t>BELENO</t>
  </si>
  <si>
    <t>GUZMAN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</si>
</sst>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E6" sqref="E6"/>
    </sheetView>
  </sheetViews>
  <sheetFormatPr baseColWidth="10" defaultRowHeight="15" x14ac:dyDescent="0.25"/>
  <cols>
    <col min="6" max="6" width="13.5703125" customWidth="1"/>
    <col min="7" max="7" width="14.140625" customWidth="1"/>
    <col min="8" max="8" width="21.28515625" customWidth="1"/>
    <col min="11" max="11" width="17.28515625" customWidth="1"/>
    <col min="13" max="13" width="51.42578125" customWidth="1"/>
  </cols>
  <sheetData>
    <row r="1" spans="1:13" x14ac:dyDescent="0.25">
      <c r="A1" s="1">
        <v>2015</v>
      </c>
      <c r="B1" s="1">
        <v>1</v>
      </c>
      <c r="C1" s="1" t="s">
        <v>20</v>
      </c>
      <c r="D1" s="1">
        <v>1143339500</v>
      </c>
      <c r="E1" s="1">
        <v>11860</v>
      </c>
      <c r="F1" s="1" t="s">
        <v>12</v>
      </c>
      <c r="G1" s="1" t="s">
        <v>12</v>
      </c>
      <c r="H1" s="1" t="s">
        <v>13</v>
      </c>
      <c r="I1" s="1" t="s">
        <v>9</v>
      </c>
      <c r="J1" s="1" t="s">
        <v>4</v>
      </c>
    </row>
    <row r="2" spans="1:13" x14ac:dyDescent="0.25">
      <c r="A2">
        <v>2015</v>
      </c>
      <c r="B2" s="5">
        <v>1</v>
      </c>
      <c r="C2" s="5" t="s">
        <v>20</v>
      </c>
      <c r="D2" s="5">
        <v>1143339510</v>
      </c>
      <c r="E2" s="5">
        <v>11860</v>
      </c>
      <c r="F2" s="5" t="s">
        <v>12</v>
      </c>
      <c r="G2" s="5" t="s">
        <v>140</v>
      </c>
      <c r="H2" s="5" t="s">
        <v>13</v>
      </c>
      <c r="I2" s="5" t="s">
        <v>9</v>
      </c>
      <c r="J2" s="5" t="s">
        <v>10</v>
      </c>
    </row>
    <row r="3" spans="1:13" x14ac:dyDescent="0.25">
      <c r="A3">
        <v>2015</v>
      </c>
      <c r="B3">
        <v>1</v>
      </c>
      <c r="C3" s="1" t="s">
        <v>0</v>
      </c>
      <c r="D3" s="1">
        <v>64701790</v>
      </c>
      <c r="E3" s="1">
        <v>91076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e">
        <v>#N/A</v>
      </c>
      <c r="M3" s="1" t="s">
        <v>5</v>
      </c>
    </row>
    <row r="4" spans="1:13" x14ac:dyDescent="0.25">
      <c r="A4">
        <v>2015</v>
      </c>
      <c r="B4" s="1">
        <v>1</v>
      </c>
      <c r="C4" s="1" t="s">
        <v>0</v>
      </c>
      <c r="D4" s="1">
        <v>1003192540</v>
      </c>
      <c r="E4" s="1">
        <v>54701</v>
      </c>
      <c r="F4" s="1" t="s">
        <v>14</v>
      </c>
      <c r="G4" s="1" t="s">
        <v>15</v>
      </c>
      <c r="H4" s="1" t="s">
        <v>16</v>
      </c>
      <c r="I4" s="1" t="s">
        <v>9</v>
      </c>
      <c r="J4" s="1" t="s">
        <v>4</v>
      </c>
      <c r="K4" s="1" t="str">
        <f>CONCATENATE(C4,D4,H4)</f>
        <v xml:space="preserve">CC1003192540ADMINISTRACION DE EMPRESAS DISTANCIA - CERETÃ‰                                                       </v>
      </c>
      <c r="L4" s="1" t="e">
        <v>#N/A</v>
      </c>
      <c r="M4" s="1" t="s">
        <v>5</v>
      </c>
    </row>
    <row r="5" spans="1:13" x14ac:dyDescent="0.25">
      <c r="A5" s="1">
        <v>2015</v>
      </c>
      <c r="B5" s="1">
        <v>1</v>
      </c>
      <c r="C5" s="1" t="s">
        <v>0</v>
      </c>
      <c r="D5" s="1">
        <v>1051820251</v>
      </c>
      <c r="E5" s="1">
        <v>54595</v>
      </c>
      <c r="F5" s="1" t="s">
        <v>18</v>
      </c>
      <c r="G5" s="1" t="s">
        <v>18</v>
      </c>
      <c r="H5" s="1" t="s">
        <v>19</v>
      </c>
      <c r="I5" s="1" t="s">
        <v>9</v>
      </c>
      <c r="J5" s="1" t="s">
        <v>4</v>
      </c>
      <c r="K5" s="1" t="str">
        <f t="shared" ref="K5" si="0">CONCATENATE(C5,D5,H5)</f>
        <v xml:space="preserve">CC1051820251ADMINISTRACION FINANCIERA - SAN JUAN NEPOMUCENO                                                     </v>
      </c>
      <c r="L5" s="1" t="e">
        <v>#N/A</v>
      </c>
      <c r="M5" s="1" t="s">
        <v>5</v>
      </c>
    </row>
    <row r="6" spans="1:13" x14ac:dyDescent="0.25">
      <c r="A6" s="3">
        <v>2015</v>
      </c>
      <c r="B6" s="3">
        <v>1</v>
      </c>
      <c r="C6" s="3" t="s">
        <v>20</v>
      </c>
      <c r="D6" s="3">
        <v>1045697</v>
      </c>
      <c r="E6" s="3">
        <v>53730</v>
      </c>
      <c r="F6" s="3" t="s">
        <v>21</v>
      </c>
      <c r="G6" s="3" t="s">
        <v>22</v>
      </c>
      <c r="H6" s="3" t="s">
        <v>23</v>
      </c>
      <c r="I6" s="3" t="s">
        <v>9</v>
      </c>
      <c r="J6" s="3" t="s">
        <v>4</v>
      </c>
    </row>
    <row r="7" spans="1:13" x14ac:dyDescent="0.25">
      <c r="A7" s="1">
        <v>2015</v>
      </c>
      <c r="B7" s="1">
        <v>1</v>
      </c>
      <c r="C7" s="1" t="s">
        <v>20</v>
      </c>
      <c r="D7" s="1">
        <v>33227071</v>
      </c>
      <c r="E7" s="1">
        <v>54744</v>
      </c>
      <c r="F7" s="1" t="s">
        <v>39</v>
      </c>
      <c r="G7" s="1" t="s">
        <v>40</v>
      </c>
      <c r="H7" s="1" t="s">
        <v>41</v>
      </c>
      <c r="I7" s="1" t="s">
        <v>9</v>
      </c>
      <c r="J7" s="1" t="s">
        <v>4</v>
      </c>
    </row>
    <row r="8" spans="1:13" x14ac:dyDescent="0.25">
      <c r="A8" s="1">
        <v>2015</v>
      </c>
      <c r="B8" s="1">
        <v>1</v>
      </c>
      <c r="C8" s="1" t="s">
        <v>20</v>
      </c>
      <c r="D8" s="1">
        <v>1066511170</v>
      </c>
      <c r="E8" s="1">
        <v>54490</v>
      </c>
      <c r="F8" s="1" t="s">
        <v>42</v>
      </c>
      <c r="G8" s="1" t="s">
        <v>43</v>
      </c>
      <c r="H8" s="1" t="s">
        <v>44</v>
      </c>
      <c r="I8" s="1" t="s">
        <v>9</v>
      </c>
      <c r="J8" s="1" t="s">
        <v>4</v>
      </c>
    </row>
    <row r="9" spans="1:13" x14ac:dyDescent="0.25">
      <c r="A9" s="1">
        <v>2015</v>
      </c>
      <c r="B9" s="1">
        <v>1</v>
      </c>
      <c r="C9" s="1" t="s">
        <v>20</v>
      </c>
      <c r="D9" s="1">
        <v>64585476</v>
      </c>
      <c r="E9" s="1">
        <v>102460</v>
      </c>
      <c r="F9" s="1" t="s">
        <v>45</v>
      </c>
      <c r="G9" s="1" t="s">
        <v>46</v>
      </c>
      <c r="H9" s="1" t="s">
        <v>47</v>
      </c>
    </row>
    <row r="10" spans="1:13" x14ac:dyDescent="0.25">
      <c r="A10" s="1">
        <v>2015</v>
      </c>
      <c r="B10" s="1">
        <v>1</v>
      </c>
      <c r="C10" s="1" t="s">
        <v>20</v>
      </c>
      <c r="D10" s="1">
        <v>1139120575</v>
      </c>
      <c r="E10" s="1">
        <v>54744</v>
      </c>
      <c r="F10" s="1" t="s">
        <v>48</v>
      </c>
      <c r="G10" s="1" t="s">
        <v>49</v>
      </c>
      <c r="H10" s="1" t="s">
        <v>50</v>
      </c>
    </row>
    <row r="11" spans="1:13" x14ac:dyDescent="0.25">
      <c r="A11" s="1">
        <v>2015</v>
      </c>
      <c r="B11" s="1">
        <v>1</v>
      </c>
      <c r="C11" s="1" t="s">
        <v>20</v>
      </c>
      <c r="D11" s="1">
        <v>1065006296</v>
      </c>
      <c r="E11" s="1">
        <v>54744</v>
      </c>
      <c r="F11" s="1" t="s">
        <v>51</v>
      </c>
      <c r="G11" s="1" t="s">
        <v>52</v>
      </c>
      <c r="H11" s="1" t="s">
        <v>50</v>
      </c>
      <c r="I11" s="1" t="s">
        <v>9</v>
      </c>
    </row>
    <row r="12" spans="1:13" x14ac:dyDescent="0.25">
      <c r="A12" s="1">
        <v>2015</v>
      </c>
      <c r="B12" s="1">
        <v>1</v>
      </c>
      <c r="C12" s="1" t="s">
        <v>20</v>
      </c>
      <c r="D12" s="1">
        <v>1052976610</v>
      </c>
      <c r="E12" s="1">
        <v>54595</v>
      </c>
      <c r="F12" s="1" t="s">
        <v>53</v>
      </c>
      <c r="G12" s="1" t="s">
        <v>54</v>
      </c>
      <c r="H12" s="1" t="s">
        <v>55</v>
      </c>
    </row>
    <row r="13" spans="1:13" x14ac:dyDescent="0.25">
      <c r="A13" s="1">
        <v>2015</v>
      </c>
      <c r="B13" s="1">
        <v>1</v>
      </c>
      <c r="C13" s="1" t="s">
        <v>20</v>
      </c>
      <c r="D13" s="1">
        <v>30582600</v>
      </c>
      <c r="E13" s="1">
        <v>17698</v>
      </c>
      <c r="F13" s="1" t="s">
        <v>1</v>
      </c>
      <c r="G13" s="1" t="s">
        <v>2</v>
      </c>
      <c r="H13" s="1" t="s">
        <v>3</v>
      </c>
    </row>
    <row r="14" spans="1:13" x14ac:dyDescent="0.25">
      <c r="A14" s="1">
        <v>2015</v>
      </c>
      <c r="B14" s="1">
        <v>1</v>
      </c>
      <c r="C14" s="1" t="s">
        <v>20</v>
      </c>
      <c r="D14" s="1">
        <v>1082877270</v>
      </c>
      <c r="E14" s="1"/>
      <c r="F14" s="1" t="s">
        <v>56</v>
      </c>
      <c r="G14" s="1" t="s">
        <v>57</v>
      </c>
      <c r="H14" s="1" t="s">
        <v>58</v>
      </c>
    </row>
    <row r="15" spans="1:13" x14ac:dyDescent="0.25">
      <c r="A15" s="1">
        <v>2015</v>
      </c>
      <c r="B15" s="1">
        <v>1</v>
      </c>
      <c r="C15" s="1" t="s">
        <v>20</v>
      </c>
      <c r="D15" s="1">
        <v>1320350000</v>
      </c>
      <c r="E15" s="1"/>
      <c r="F15" s="1" t="s">
        <v>59</v>
      </c>
      <c r="G15" s="1" t="s">
        <v>60</v>
      </c>
      <c r="H15" s="1" t="s">
        <v>58</v>
      </c>
    </row>
    <row r="16" spans="1:13" x14ac:dyDescent="0.25">
      <c r="A16" s="5">
        <v>2015</v>
      </c>
      <c r="B16" s="5">
        <v>1</v>
      </c>
      <c r="C16" s="5" t="s">
        <v>20</v>
      </c>
      <c r="D16" s="5">
        <v>1128045393</v>
      </c>
      <c r="E16" s="5"/>
      <c r="F16" s="5" t="s">
        <v>59</v>
      </c>
      <c r="G16" s="5" t="s">
        <v>60</v>
      </c>
      <c r="H16" s="5" t="s">
        <v>58</v>
      </c>
    </row>
    <row r="17" spans="1:8" x14ac:dyDescent="0.25">
      <c r="A17" s="1">
        <v>2015</v>
      </c>
      <c r="B17" s="1">
        <v>1</v>
      </c>
      <c r="C17" s="1" t="s">
        <v>20</v>
      </c>
      <c r="D17" s="1">
        <v>1051039296</v>
      </c>
      <c r="E17" s="1">
        <v>54595</v>
      </c>
      <c r="F17" s="1" t="s">
        <v>61</v>
      </c>
      <c r="G17" s="1" t="s">
        <v>62</v>
      </c>
      <c r="H17" s="1" t="s">
        <v>19</v>
      </c>
    </row>
    <row r="18" spans="1:8" x14ac:dyDescent="0.25">
      <c r="A18" s="1">
        <v>2015</v>
      </c>
      <c r="B18" s="1">
        <v>1</v>
      </c>
      <c r="C18" s="1" t="s">
        <v>20</v>
      </c>
      <c r="D18" s="1">
        <v>8866098</v>
      </c>
      <c r="E18" s="1">
        <v>54595</v>
      </c>
      <c r="F18" s="1" t="s">
        <v>63</v>
      </c>
      <c r="G18" s="1" t="s">
        <v>64</v>
      </c>
      <c r="H18" s="1" t="s">
        <v>55</v>
      </c>
    </row>
    <row r="19" spans="1:8" x14ac:dyDescent="0.25">
      <c r="A19" s="1">
        <v>2015</v>
      </c>
      <c r="B19" s="1">
        <v>1</v>
      </c>
      <c r="C19" s="1" t="s">
        <v>20</v>
      </c>
      <c r="D19" s="1">
        <v>1068669443</v>
      </c>
      <c r="E19" s="1">
        <v>54595</v>
      </c>
      <c r="F19" s="1" t="s">
        <v>65</v>
      </c>
      <c r="G19" s="1" t="s">
        <v>66</v>
      </c>
      <c r="H19" s="1" t="s">
        <v>67</v>
      </c>
    </row>
    <row r="20" spans="1:8" x14ac:dyDescent="0.25">
      <c r="A20" s="1">
        <v>2015</v>
      </c>
      <c r="B20" s="1">
        <v>1</v>
      </c>
      <c r="C20" s="1" t="s">
        <v>20</v>
      </c>
      <c r="D20" s="1">
        <v>1063136540</v>
      </c>
      <c r="E20" s="1">
        <v>54701</v>
      </c>
      <c r="F20" s="1" t="s">
        <v>75</v>
      </c>
      <c r="G20" s="1" t="s">
        <v>76</v>
      </c>
      <c r="H20" s="1" t="s">
        <v>77</v>
      </c>
    </row>
    <row r="21" spans="1:8" x14ac:dyDescent="0.25">
      <c r="A21" s="1">
        <v>2015</v>
      </c>
      <c r="B21" s="1">
        <v>1</v>
      </c>
      <c r="C21" s="1" t="s">
        <v>20</v>
      </c>
      <c r="D21" s="1">
        <v>1052091550</v>
      </c>
      <c r="E21" s="1">
        <v>54595</v>
      </c>
      <c r="F21" s="1" t="s">
        <v>78</v>
      </c>
      <c r="G21" s="1" t="s">
        <v>79</v>
      </c>
      <c r="H21" s="1" t="s">
        <v>80</v>
      </c>
    </row>
    <row r="22" spans="1:8" x14ac:dyDescent="0.25">
      <c r="A22" s="1">
        <v>2015</v>
      </c>
      <c r="B22" s="1">
        <v>1</v>
      </c>
      <c r="C22" s="1" t="s">
        <v>20</v>
      </c>
      <c r="D22" s="1">
        <v>7319070</v>
      </c>
      <c r="E22" s="1">
        <v>3325</v>
      </c>
      <c r="F22" s="1" t="s">
        <v>81</v>
      </c>
      <c r="G22" s="1" t="s">
        <v>82</v>
      </c>
      <c r="H22" s="1" t="s">
        <v>83</v>
      </c>
    </row>
    <row r="23" spans="1:8" x14ac:dyDescent="0.25">
      <c r="A23" s="1">
        <v>2015</v>
      </c>
      <c r="B23" s="1">
        <v>1</v>
      </c>
      <c r="C23" s="1" t="s">
        <v>20</v>
      </c>
      <c r="D23" s="1">
        <v>1064989720</v>
      </c>
      <c r="E23" s="1">
        <v>54744</v>
      </c>
      <c r="F23" s="1" t="s">
        <v>84</v>
      </c>
      <c r="G23" s="1" t="s">
        <v>85</v>
      </c>
      <c r="H23" s="1" t="s">
        <v>50</v>
      </c>
    </row>
    <row r="24" spans="1:8" x14ac:dyDescent="0.25">
      <c r="A24" s="1">
        <v>2015</v>
      </c>
      <c r="B24" s="1">
        <v>1</v>
      </c>
      <c r="C24" s="1" t="s">
        <v>20</v>
      </c>
      <c r="D24" s="1">
        <v>1050965309</v>
      </c>
      <c r="E24" s="1">
        <v>54595</v>
      </c>
      <c r="F24" s="1" t="s">
        <v>86</v>
      </c>
      <c r="G24" s="1" t="s">
        <v>87</v>
      </c>
      <c r="H24" s="1" t="s">
        <v>55</v>
      </c>
    </row>
    <row r="25" spans="1:8" x14ac:dyDescent="0.25">
      <c r="A25" s="1">
        <v>2015</v>
      </c>
      <c r="B25" s="1">
        <v>1</v>
      </c>
      <c r="C25" s="1" t="s">
        <v>35</v>
      </c>
      <c r="D25" s="1">
        <v>96032313687</v>
      </c>
      <c r="E25" s="1">
        <v>54744</v>
      </c>
      <c r="F25" s="1" t="s">
        <v>88</v>
      </c>
      <c r="G25" s="1" t="s">
        <v>89</v>
      </c>
      <c r="H25" s="1" t="s">
        <v>41</v>
      </c>
    </row>
    <row r="26" spans="1:8" x14ac:dyDescent="0.25">
      <c r="A26" s="1">
        <v>2015</v>
      </c>
      <c r="B26" s="1">
        <v>1</v>
      </c>
      <c r="C26" s="1" t="s">
        <v>20</v>
      </c>
      <c r="D26" s="1">
        <v>1052081541</v>
      </c>
      <c r="E26" s="1">
        <v>54744</v>
      </c>
      <c r="F26" s="1" t="s">
        <v>90</v>
      </c>
      <c r="G26" s="1" t="s">
        <v>91</v>
      </c>
      <c r="H26" s="1" t="s">
        <v>92</v>
      </c>
    </row>
    <row r="27" spans="1:8" x14ac:dyDescent="0.25">
      <c r="A27" s="1">
        <v>2015</v>
      </c>
      <c r="B27" s="1">
        <v>1</v>
      </c>
      <c r="C27" s="1" t="s">
        <v>20</v>
      </c>
      <c r="D27" s="1">
        <v>1102783674</v>
      </c>
      <c r="E27" s="1">
        <v>7810</v>
      </c>
      <c r="F27" s="1" t="s">
        <v>93</v>
      </c>
      <c r="G27" s="1" t="s">
        <v>94</v>
      </c>
      <c r="H27" s="1" t="s">
        <v>95</v>
      </c>
    </row>
    <row r="28" spans="1:8" x14ac:dyDescent="0.25">
      <c r="A28" s="1">
        <v>2015</v>
      </c>
      <c r="B28" s="1">
        <v>1</v>
      </c>
      <c r="C28" s="1" t="s">
        <v>20</v>
      </c>
      <c r="D28" s="1">
        <v>55245900</v>
      </c>
      <c r="E28" s="1">
        <v>10461</v>
      </c>
      <c r="F28" s="1" t="s">
        <v>96</v>
      </c>
      <c r="G28" s="1" t="s">
        <v>97</v>
      </c>
      <c r="H28" s="1" t="s">
        <v>98</v>
      </c>
    </row>
    <row r="29" spans="1:8" x14ac:dyDescent="0.25">
      <c r="A29" s="1">
        <v>2015</v>
      </c>
      <c r="B29" s="1">
        <v>1</v>
      </c>
      <c r="C29" s="1" t="s">
        <v>20</v>
      </c>
      <c r="D29" s="1">
        <v>1052996590</v>
      </c>
      <c r="E29" s="1">
        <v>54701</v>
      </c>
      <c r="F29" s="1" t="s">
        <v>102</v>
      </c>
      <c r="G29" s="1" t="s">
        <v>103</v>
      </c>
      <c r="H29" s="1" t="s">
        <v>17</v>
      </c>
    </row>
  </sheetData>
  <conditionalFormatting sqref="D4">
    <cfRule type="duplicateValues" dxfId="5" priority="5"/>
  </conditionalFormatting>
  <conditionalFormatting sqref="D5">
    <cfRule type="duplicateValues" dxfId="4" priority="3"/>
  </conditionalFormatting>
  <conditionalFormatting sqref="L1:L2">
    <cfRule type="duplicateValues" dxfId="3" priority="2"/>
  </conditionalFormatting>
  <conditionalFormatting sqref="D3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10" sqref="A10:H10"/>
    </sheetView>
  </sheetViews>
  <sheetFormatPr baseColWidth="10" defaultRowHeight="15" x14ac:dyDescent="0.25"/>
  <cols>
    <col min="4" max="4" width="12" bestFit="1" customWidth="1"/>
    <col min="7" max="7" width="22.42578125" bestFit="1" customWidth="1"/>
    <col min="8" max="8" width="80.140625" bestFit="1" customWidth="1"/>
  </cols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25">
      <c r="A2">
        <v>2015</v>
      </c>
      <c r="B2">
        <v>1</v>
      </c>
      <c r="C2" t="s">
        <v>35</v>
      </c>
      <c r="D2">
        <v>98022120290</v>
      </c>
      <c r="E2">
        <v>54701</v>
      </c>
      <c r="F2" s="2" t="s">
        <v>36</v>
      </c>
      <c r="G2" t="s">
        <v>37</v>
      </c>
      <c r="H2" t="s">
        <v>17</v>
      </c>
      <c r="I2" t="s">
        <v>9</v>
      </c>
      <c r="J2" t="s">
        <v>4</v>
      </c>
      <c r="K2" t="s">
        <v>38</v>
      </c>
    </row>
    <row r="3" spans="1:11" x14ac:dyDescent="0.25">
      <c r="A3">
        <v>2015</v>
      </c>
      <c r="B3">
        <v>1</v>
      </c>
      <c r="C3" t="s">
        <v>35</v>
      </c>
      <c r="D3">
        <v>98022120298</v>
      </c>
      <c r="E3">
        <v>54701</v>
      </c>
      <c r="F3" s="2" t="s">
        <v>36</v>
      </c>
      <c r="G3" t="s">
        <v>37</v>
      </c>
      <c r="H3" t="s">
        <v>17</v>
      </c>
      <c r="I3" t="s">
        <v>9</v>
      </c>
      <c r="J3" t="s">
        <v>4</v>
      </c>
      <c r="K3" t="s">
        <v>38</v>
      </c>
    </row>
    <row r="4" spans="1:11" x14ac:dyDescent="0.25">
      <c r="A4">
        <v>2015</v>
      </c>
      <c r="B4">
        <v>1</v>
      </c>
      <c r="C4" t="s">
        <v>20</v>
      </c>
      <c r="D4">
        <v>10678830</v>
      </c>
      <c r="E4">
        <v>54701</v>
      </c>
      <c r="F4" s="2" t="s">
        <v>68</v>
      </c>
      <c r="G4" t="s">
        <v>69</v>
      </c>
      <c r="H4" t="s">
        <v>16</v>
      </c>
      <c r="I4" t="s">
        <v>9</v>
      </c>
      <c r="J4" t="s">
        <v>4</v>
      </c>
      <c r="K4" t="s">
        <v>70</v>
      </c>
    </row>
    <row r="5" spans="1:11" x14ac:dyDescent="0.25">
      <c r="A5">
        <v>2015</v>
      </c>
      <c r="B5">
        <v>1</v>
      </c>
      <c r="C5" t="s">
        <v>20</v>
      </c>
      <c r="D5">
        <v>1067883081</v>
      </c>
      <c r="E5">
        <v>54701</v>
      </c>
      <c r="F5" s="2" t="s">
        <v>68</v>
      </c>
      <c r="G5" t="s">
        <v>69</v>
      </c>
      <c r="H5" t="s">
        <v>16</v>
      </c>
      <c r="I5" t="s">
        <v>9</v>
      </c>
      <c r="J5" t="s">
        <v>4</v>
      </c>
      <c r="K5" t="s">
        <v>70</v>
      </c>
    </row>
    <row r="6" spans="1:11" x14ac:dyDescent="0.25">
      <c r="A6">
        <v>2015</v>
      </c>
      <c r="B6">
        <v>1</v>
      </c>
      <c r="C6" t="s">
        <v>35</v>
      </c>
      <c r="D6">
        <v>1002494622</v>
      </c>
      <c r="E6">
        <v>54744</v>
      </c>
      <c r="F6" s="2" t="s">
        <v>71</v>
      </c>
      <c r="G6" t="s">
        <v>72</v>
      </c>
      <c r="H6" t="s">
        <v>73</v>
      </c>
      <c r="I6" t="s">
        <v>9</v>
      </c>
      <c r="J6" t="s">
        <v>4</v>
      </c>
      <c r="K6" t="s">
        <v>74</v>
      </c>
    </row>
    <row r="7" spans="1:11" x14ac:dyDescent="0.25">
      <c r="A7">
        <v>2015</v>
      </c>
      <c r="B7">
        <v>1</v>
      </c>
      <c r="C7" t="s">
        <v>35</v>
      </c>
      <c r="D7">
        <v>1022494622</v>
      </c>
      <c r="E7">
        <v>54744</v>
      </c>
      <c r="F7" s="2" t="s">
        <v>71</v>
      </c>
      <c r="G7" t="s">
        <v>72</v>
      </c>
      <c r="H7" t="s">
        <v>73</v>
      </c>
      <c r="I7" t="s">
        <v>9</v>
      </c>
      <c r="J7" t="s">
        <v>4</v>
      </c>
      <c r="K7" t="s">
        <v>74</v>
      </c>
    </row>
    <row r="8" spans="1:11" x14ac:dyDescent="0.25">
      <c r="A8">
        <v>2015</v>
      </c>
      <c r="B8">
        <v>1</v>
      </c>
      <c r="C8" t="s">
        <v>35</v>
      </c>
      <c r="D8">
        <v>1071350350</v>
      </c>
      <c r="E8">
        <v>54595</v>
      </c>
      <c r="F8" s="2" t="s">
        <v>99</v>
      </c>
      <c r="G8" t="s">
        <v>100</v>
      </c>
      <c r="H8" t="s">
        <v>67</v>
      </c>
      <c r="I8" t="s">
        <v>9</v>
      </c>
      <c r="J8" t="s">
        <v>4</v>
      </c>
      <c r="K8" t="s">
        <v>101</v>
      </c>
    </row>
    <row r="9" spans="1:11" x14ac:dyDescent="0.25">
      <c r="A9">
        <v>2015</v>
      </c>
      <c r="B9">
        <v>1</v>
      </c>
      <c r="C9" t="s">
        <v>35</v>
      </c>
      <c r="D9">
        <v>1071350838</v>
      </c>
      <c r="E9">
        <v>54595</v>
      </c>
      <c r="F9" s="2" t="s">
        <v>99</v>
      </c>
      <c r="G9" t="s">
        <v>100</v>
      </c>
      <c r="H9" t="s">
        <v>67</v>
      </c>
      <c r="I9" t="s">
        <v>9</v>
      </c>
      <c r="J9" t="s">
        <v>4</v>
      </c>
      <c r="K9" t="s">
        <v>101</v>
      </c>
    </row>
    <row r="10" spans="1:11" x14ac:dyDescent="0.25">
      <c r="A10">
        <v>2015</v>
      </c>
      <c r="B10">
        <v>1</v>
      </c>
      <c r="C10" t="s">
        <v>20</v>
      </c>
      <c r="D10">
        <v>1052996590</v>
      </c>
      <c r="E10">
        <v>54701</v>
      </c>
      <c r="F10" t="s">
        <v>102</v>
      </c>
      <c r="G10" t="s">
        <v>103</v>
      </c>
      <c r="H10" t="s">
        <v>17</v>
      </c>
      <c r="I10" t="s">
        <v>9</v>
      </c>
      <c r="J10" t="s">
        <v>4</v>
      </c>
      <c r="K10" t="s">
        <v>104</v>
      </c>
    </row>
    <row r="11" spans="1:11" x14ac:dyDescent="0.25">
      <c r="A11">
        <v>2015</v>
      </c>
      <c r="B11">
        <v>1</v>
      </c>
      <c r="C11" t="s">
        <v>20</v>
      </c>
      <c r="D11">
        <v>1052996594</v>
      </c>
      <c r="E11">
        <v>54701</v>
      </c>
      <c r="F11" t="s">
        <v>102</v>
      </c>
      <c r="G11" t="s">
        <v>103</v>
      </c>
      <c r="H11" t="s">
        <v>17</v>
      </c>
      <c r="I11" t="s">
        <v>9</v>
      </c>
      <c r="J11" t="s">
        <v>4</v>
      </c>
      <c r="K11" t="s">
        <v>104</v>
      </c>
    </row>
  </sheetData>
  <conditionalFormatting sqref="K2:K11">
    <cfRule type="duplicateValues" dxfId="0" priority="2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" sqref="C1:C7"/>
    </sheetView>
  </sheetViews>
  <sheetFormatPr baseColWidth="10" defaultRowHeight="15" x14ac:dyDescent="0.25"/>
  <cols>
    <col min="1" max="1" width="13.28515625" bestFit="1" customWidth="1"/>
  </cols>
  <sheetData>
    <row r="1" spans="1:3" x14ac:dyDescent="0.25">
      <c r="A1" s="4" t="s">
        <v>0</v>
      </c>
      <c r="B1">
        <v>1065002733</v>
      </c>
      <c r="C1" t="str">
        <f>CONCATENATE(A1,B1)</f>
        <v>CC1065002733</v>
      </c>
    </row>
    <row r="2" spans="1:3" x14ac:dyDescent="0.25">
      <c r="A2" s="4" t="s">
        <v>0</v>
      </c>
      <c r="B2">
        <v>1066525254</v>
      </c>
      <c r="C2" t="str">
        <f t="shared" ref="C2:C7" si="0">CONCATENATE(A2,B2)</f>
        <v>CC1066525254</v>
      </c>
    </row>
    <row r="3" spans="1:3" x14ac:dyDescent="0.25">
      <c r="A3" s="4" t="s">
        <v>0</v>
      </c>
      <c r="B3">
        <v>22802224</v>
      </c>
      <c r="C3" t="str">
        <f t="shared" si="0"/>
        <v>CC22802224</v>
      </c>
    </row>
    <row r="4" spans="1:3" x14ac:dyDescent="0.25">
      <c r="A4" s="4" t="s">
        <v>0</v>
      </c>
      <c r="B4">
        <v>33106889</v>
      </c>
      <c r="C4" t="str">
        <f t="shared" si="0"/>
        <v>CC33106889</v>
      </c>
    </row>
    <row r="5" spans="1:3" x14ac:dyDescent="0.25">
      <c r="A5" s="4" t="s">
        <v>0</v>
      </c>
      <c r="B5">
        <v>45760356</v>
      </c>
      <c r="C5" t="str">
        <f t="shared" si="0"/>
        <v>CC45760356</v>
      </c>
    </row>
    <row r="6" spans="1:3" x14ac:dyDescent="0.25">
      <c r="A6" s="4" t="s">
        <v>0</v>
      </c>
      <c r="B6">
        <v>73191096</v>
      </c>
      <c r="C6" t="str">
        <f t="shared" si="0"/>
        <v>CC73191096</v>
      </c>
    </row>
    <row r="7" spans="1:3" x14ac:dyDescent="0.25">
      <c r="A7" s="4" t="s">
        <v>0</v>
      </c>
      <c r="B7">
        <v>73580937</v>
      </c>
      <c r="C7" t="str">
        <f t="shared" si="0"/>
        <v>CC73580937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B24" sqref="B24"/>
    </sheetView>
  </sheetViews>
  <sheetFormatPr baseColWidth="10" defaultRowHeight="15" x14ac:dyDescent="0.25"/>
  <sheetData>
    <row r="1" spans="1:13" x14ac:dyDescent="0.25"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0</v>
      </c>
      <c r="B2">
        <v>19767581</v>
      </c>
      <c r="D2">
        <v>2015</v>
      </c>
      <c r="E2">
        <v>1</v>
      </c>
      <c r="F2" t="s">
        <v>20</v>
      </c>
      <c r="G2">
        <v>19767581</v>
      </c>
      <c r="H2">
        <v>11860</v>
      </c>
      <c r="I2" t="s">
        <v>105</v>
      </c>
      <c r="J2" t="s">
        <v>106</v>
      </c>
      <c r="K2" t="s">
        <v>13</v>
      </c>
      <c r="L2" t="s">
        <v>9</v>
      </c>
      <c r="M2" t="s">
        <v>10</v>
      </c>
    </row>
    <row r="3" spans="1:13" x14ac:dyDescent="0.25">
      <c r="A3" t="s">
        <v>0</v>
      </c>
      <c r="B3">
        <v>23136371</v>
      </c>
      <c r="D3">
        <v>2015</v>
      </c>
      <c r="E3">
        <v>1</v>
      </c>
      <c r="F3" t="s">
        <v>20</v>
      </c>
      <c r="G3">
        <v>23136371</v>
      </c>
      <c r="H3">
        <v>103272</v>
      </c>
      <c r="I3" t="s">
        <v>107</v>
      </c>
      <c r="J3" t="s">
        <v>108</v>
      </c>
      <c r="K3" t="s">
        <v>109</v>
      </c>
      <c r="L3" t="s">
        <v>9</v>
      </c>
      <c r="M3" t="s">
        <v>4</v>
      </c>
    </row>
    <row r="4" spans="1:13" x14ac:dyDescent="0.25">
      <c r="A4" t="s">
        <v>0</v>
      </c>
      <c r="B4">
        <v>32906357</v>
      </c>
      <c r="D4">
        <v>2015</v>
      </c>
      <c r="E4">
        <v>1</v>
      </c>
      <c r="F4" t="s">
        <v>20</v>
      </c>
      <c r="G4">
        <v>32906357</v>
      </c>
      <c r="H4">
        <v>103272</v>
      </c>
      <c r="I4" t="s">
        <v>110</v>
      </c>
      <c r="J4" t="s">
        <v>111</v>
      </c>
      <c r="K4" t="s">
        <v>109</v>
      </c>
      <c r="L4" t="s">
        <v>9</v>
      </c>
      <c r="M4" t="s">
        <v>4</v>
      </c>
    </row>
    <row r="5" spans="1:13" x14ac:dyDescent="0.25">
      <c r="A5" t="s">
        <v>0</v>
      </c>
      <c r="B5">
        <v>45458679</v>
      </c>
      <c r="D5">
        <v>2015</v>
      </c>
      <c r="E5">
        <v>1</v>
      </c>
      <c r="F5" t="s">
        <v>20</v>
      </c>
      <c r="G5">
        <v>45458679</v>
      </c>
      <c r="H5">
        <v>11860</v>
      </c>
      <c r="I5" t="s">
        <v>112</v>
      </c>
      <c r="J5" t="s">
        <v>113</v>
      </c>
      <c r="K5" t="s">
        <v>13</v>
      </c>
      <c r="L5" t="s">
        <v>9</v>
      </c>
      <c r="M5" t="s">
        <v>10</v>
      </c>
    </row>
    <row r="6" spans="1:13" x14ac:dyDescent="0.25">
      <c r="A6" t="s">
        <v>0</v>
      </c>
      <c r="B6">
        <v>45460293</v>
      </c>
      <c r="D6">
        <v>2015</v>
      </c>
      <c r="E6">
        <v>1</v>
      </c>
      <c r="F6" t="s">
        <v>20</v>
      </c>
      <c r="G6">
        <v>45460293</v>
      </c>
      <c r="H6">
        <v>11860</v>
      </c>
      <c r="I6" t="s">
        <v>114</v>
      </c>
      <c r="J6" t="s">
        <v>115</v>
      </c>
      <c r="K6" t="s">
        <v>13</v>
      </c>
      <c r="L6" t="s">
        <v>9</v>
      </c>
      <c r="M6" t="s">
        <v>10</v>
      </c>
    </row>
    <row r="7" spans="1:13" x14ac:dyDescent="0.25">
      <c r="A7" t="s">
        <v>0</v>
      </c>
      <c r="B7">
        <v>45507115</v>
      </c>
      <c r="D7">
        <v>2015</v>
      </c>
      <c r="E7">
        <v>1</v>
      </c>
      <c r="F7" t="s">
        <v>20</v>
      </c>
      <c r="G7">
        <v>45507115</v>
      </c>
      <c r="H7">
        <v>103272</v>
      </c>
      <c r="I7" t="s">
        <v>116</v>
      </c>
      <c r="J7" t="s">
        <v>117</v>
      </c>
      <c r="K7" t="s">
        <v>109</v>
      </c>
      <c r="L7" t="s">
        <v>9</v>
      </c>
      <c r="M7" t="s">
        <v>4</v>
      </c>
    </row>
    <row r="8" spans="1:13" x14ac:dyDescent="0.25">
      <c r="A8" t="s">
        <v>0</v>
      </c>
      <c r="B8">
        <v>45688951</v>
      </c>
      <c r="D8">
        <v>2015</v>
      </c>
      <c r="E8">
        <v>1</v>
      </c>
      <c r="F8" t="s">
        <v>20</v>
      </c>
      <c r="G8">
        <v>45688951</v>
      </c>
      <c r="H8">
        <v>54595</v>
      </c>
      <c r="I8" t="s">
        <v>118</v>
      </c>
      <c r="J8" t="s">
        <v>119</v>
      </c>
      <c r="K8" t="s">
        <v>19</v>
      </c>
      <c r="L8" t="s">
        <v>9</v>
      </c>
      <c r="M8" t="s">
        <v>4</v>
      </c>
    </row>
    <row r="9" spans="1:13" x14ac:dyDescent="0.25">
      <c r="A9" t="s">
        <v>0</v>
      </c>
      <c r="B9">
        <v>64703387</v>
      </c>
      <c r="D9">
        <v>2015</v>
      </c>
      <c r="E9">
        <v>1</v>
      </c>
      <c r="F9" t="s">
        <v>20</v>
      </c>
      <c r="G9">
        <v>64703387</v>
      </c>
      <c r="H9">
        <v>11860</v>
      </c>
      <c r="I9" t="s">
        <v>120</v>
      </c>
      <c r="J9" t="s">
        <v>121</v>
      </c>
      <c r="K9" t="s">
        <v>13</v>
      </c>
      <c r="L9" t="s">
        <v>9</v>
      </c>
      <c r="M9" t="s">
        <v>10</v>
      </c>
    </row>
    <row r="10" spans="1:13" x14ac:dyDescent="0.25">
      <c r="A10" t="s">
        <v>0</v>
      </c>
      <c r="B10">
        <v>73125562</v>
      </c>
      <c r="D10">
        <v>2015</v>
      </c>
      <c r="E10">
        <v>1</v>
      </c>
      <c r="F10" t="s">
        <v>20</v>
      </c>
      <c r="G10">
        <v>73125562</v>
      </c>
      <c r="H10">
        <v>103272</v>
      </c>
      <c r="I10" t="s">
        <v>122</v>
      </c>
      <c r="J10" t="s">
        <v>123</v>
      </c>
      <c r="K10" t="s">
        <v>109</v>
      </c>
      <c r="L10" t="s">
        <v>9</v>
      </c>
      <c r="M10" t="s">
        <v>4</v>
      </c>
    </row>
    <row r="11" spans="1:13" x14ac:dyDescent="0.25">
      <c r="A11" t="s">
        <v>0</v>
      </c>
      <c r="B11">
        <v>85446668</v>
      </c>
      <c r="D11">
        <v>2015</v>
      </c>
      <c r="E11">
        <v>1</v>
      </c>
      <c r="F11" t="s">
        <v>20</v>
      </c>
      <c r="G11">
        <v>85446668</v>
      </c>
      <c r="H11">
        <v>103272</v>
      </c>
      <c r="I11" t="s">
        <v>124</v>
      </c>
      <c r="J11" t="s">
        <v>125</v>
      </c>
      <c r="K11" t="s">
        <v>109</v>
      </c>
      <c r="L11" t="s">
        <v>9</v>
      </c>
      <c r="M11" t="s">
        <v>4</v>
      </c>
    </row>
    <row r="12" spans="1:13" x14ac:dyDescent="0.25">
      <c r="A12" t="s">
        <v>0</v>
      </c>
      <c r="B12">
        <v>1047365097</v>
      </c>
      <c r="D12">
        <v>2015</v>
      </c>
      <c r="E12">
        <v>1</v>
      </c>
      <c r="F12" t="s">
        <v>20</v>
      </c>
      <c r="G12">
        <v>1047365097</v>
      </c>
      <c r="H12">
        <v>103272</v>
      </c>
      <c r="I12" t="s">
        <v>126</v>
      </c>
      <c r="J12" t="s">
        <v>127</v>
      </c>
      <c r="K12" t="s">
        <v>109</v>
      </c>
      <c r="L12" t="s">
        <v>9</v>
      </c>
      <c r="M12" t="s">
        <v>4</v>
      </c>
    </row>
    <row r="13" spans="1:13" x14ac:dyDescent="0.25">
      <c r="A13" t="s">
        <v>0</v>
      </c>
      <c r="B13">
        <v>1047379566</v>
      </c>
      <c r="D13">
        <v>2015</v>
      </c>
      <c r="E13">
        <v>1</v>
      </c>
      <c r="F13" t="s">
        <v>20</v>
      </c>
      <c r="G13">
        <v>1047379566</v>
      </c>
      <c r="H13">
        <v>11860</v>
      </c>
      <c r="I13" t="s">
        <v>128</v>
      </c>
      <c r="J13" t="s">
        <v>129</v>
      </c>
      <c r="K13" t="s">
        <v>13</v>
      </c>
      <c r="L13" t="s">
        <v>9</v>
      </c>
      <c r="M13" t="s">
        <v>10</v>
      </c>
    </row>
    <row r="14" spans="1:13" x14ac:dyDescent="0.25">
      <c r="A14" t="s">
        <v>0</v>
      </c>
      <c r="B14">
        <v>1047387810</v>
      </c>
      <c r="D14">
        <v>2015</v>
      </c>
      <c r="E14">
        <v>1</v>
      </c>
      <c r="F14" t="s">
        <v>20</v>
      </c>
      <c r="G14">
        <v>1047387810</v>
      </c>
      <c r="H14">
        <v>11860</v>
      </c>
      <c r="I14" t="s">
        <v>130</v>
      </c>
      <c r="J14" t="s">
        <v>131</v>
      </c>
      <c r="K14" t="s">
        <v>13</v>
      </c>
      <c r="L14" t="s">
        <v>9</v>
      </c>
      <c r="M14" t="s">
        <v>10</v>
      </c>
    </row>
    <row r="15" spans="1:13" x14ac:dyDescent="0.25">
      <c r="A15" t="s">
        <v>0</v>
      </c>
      <c r="B15">
        <v>1047393564</v>
      </c>
      <c r="D15">
        <v>2015</v>
      </c>
      <c r="E15">
        <v>1</v>
      </c>
      <c r="F15" t="s">
        <v>20</v>
      </c>
      <c r="G15">
        <v>1047393564</v>
      </c>
      <c r="H15">
        <v>11860</v>
      </c>
      <c r="I15" t="s">
        <v>132</v>
      </c>
      <c r="J15" t="s">
        <v>133</v>
      </c>
      <c r="K15" t="s">
        <v>13</v>
      </c>
      <c r="L15" t="s">
        <v>9</v>
      </c>
      <c r="M15" t="s">
        <v>10</v>
      </c>
    </row>
    <row r="16" spans="1:13" x14ac:dyDescent="0.25">
      <c r="A16" t="s">
        <v>0</v>
      </c>
      <c r="B16">
        <v>1047397440</v>
      </c>
      <c r="D16">
        <v>2015</v>
      </c>
      <c r="E16">
        <v>1</v>
      </c>
      <c r="F16" t="s">
        <v>20</v>
      </c>
      <c r="G16">
        <v>1047397440</v>
      </c>
      <c r="H16">
        <v>11860</v>
      </c>
      <c r="I16" t="s">
        <v>134</v>
      </c>
      <c r="J16" t="s">
        <v>135</v>
      </c>
      <c r="K16" t="s">
        <v>13</v>
      </c>
      <c r="L16" t="s">
        <v>9</v>
      </c>
      <c r="M16" t="s">
        <v>10</v>
      </c>
    </row>
    <row r="17" spans="1:13" x14ac:dyDescent="0.25">
      <c r="A17" t="s">
        <v>0</v>
      </c>
      <c r="B17">
        <v>1047423641</v>
      </c>
      <c r="D17">
        <v>2015</v>
      </c>
      <c r="E17">
        <v>1</v>
      </c>
      <c r="F17" t="s">
        <v>20</v>
      </c>
      <c r="G17">
        <v>1047423641</v>
      </c>
      <c r="H17">
        <v>11860</v>
      </c>
      <c r="I17" t="s">
        <v>136</v>
      </c>
      <c r="J17" t="s">
        <v>137</v>
      </c>
      <c r="K17" t="s">
        <v>13</v>
      </c>
      <c r="L17" t="s">
        <v>9</v>
      </c>
      <c r="M17" t="s">
        <v>10</v>
      </c>
    </row>
    <row r="18" spans="1:13" x14ac:dyDescent="0.25">
      <c r="A18" t="s">
        <v>0</v>
      </c>
      <c r="B18">
        <v>1143330562</v>
      </c>
      <c r="D18">
        <v>2015</v>
      </c>
      <c r="E18">
        <v>1</v>
      </c>
      <c r="F18" t="s">
        <v>20</v>
      </c>
      <c r="G18">
        <v>1143330562</v>
      </c>
      <c r="H18">
        <v>103272</v>
      </c>
      <c r="I18" t="s">
        <v>138</v>
      </c>
      <c r="J18" t="s">
        <v>139</v>
      </c>
      <c r="K18" t="s">
        <v>109</v>
      </c>
      <c r="L18" t="s">
        <v>9</v>
      </c>
      <c r="M18" t="s">
        <v>4</v>
      </c>
    </row>
    <row r="19" spans="1:13" x14ac:dyDescent="0.25">
      <c r="A19" t="s">
        <v>0</v>
      </c>
      <c r="B19">
        <v>1143339510</v>
      </c>
      <c r="D19">
        <v>2015</v>
      </c>
      <c r="E19">
        <v>1</v>
      </c>
      <c r="F19" t="s">
        <v>20</v>
      </c>
      <c r="G19">
        <v>1143339510</v>
      </c>
      <c r="H19">
        <v>11860</v>
      </c>
      <c r="I19" t="s">
        <v>12</v>
      </c>
      <c r="J19" t="s">
        <v>140</v>
      </c>
      <c r="K19" t="s">
        <v>13</v>
      </c>
      <c r="L19" t="s">
        <v>9</v>
      </c>
      <c r="M19" t="s">
        <v>10</v>
      </c>
    </row>
    <row r="20" spans="1:13" x14ac:dyDescent="0.25">
      <c r="A20" t="s">
        <v>0</v>
      </c>
      <c r="B20">
        <v>1143354963</v>
      </c>
      <c r="D20">
        <v>2015</v>
      </c>
      <c r="E20">
        <v>1</v>
      </c>
      <c r="F20" t="s">
        <v>20</v>
      </c>
      <c r="G20">
        <v>1143354963</v>
      </c>
      <c r="H20">
        <v>103272</v>
      </c>
      <c r="I20" t="s">
        <v>141</v>
      </c>
      <c r="J20" t="s">
        <v>142</v>
      </c>
      <c r="K20" t="s">
        <v>109</v>
      </c>
      <c r="L20" t="s">
        <v>9</v>
      </c>
      <c r="M20" t="s">
        <v>4</v>
      </c>
    </row>
  </sheetData>
  <conditionalFormatting sqref="A2:A20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C15" sqref="C15"/>
    </sheetView>
  </sheetViews>
  <sheetFormatPr baseColWidth="10" defaultRowHeight="15" x14ac:dyDescent="0.25"/>
  <sheetData>
    <row r="1" spans="1:5" x14ac:dyDescent="0.25">
      <c r="A1" s="4" t="s">
        <v>143</v>
      </c>
      <c r="B1" t="s">
        <v>144</v>
      </c>
      <c r="D1" t="s">
        <v>167</v>
      </c>
      <c r="E1" t="s">
        <v>168</v>
      </c>
    </row>
    <row r="2" spans="1:5" x14ac:dyDescent="0.25">
      <c r="A2" s="4" t="s">
        <v>107</v>
      </c>
      <c r="D2" t="s">
        <v>169</v>
      </c>
      <c r="E2" t="s">
        <v>170</v>
      </c>
    </row>
    <row r="3" spans="1:5" x14ac:dyDescent="0.25">
      <c r="A3" s="4" t="s">
        <v>145</v>
      </c>
      <c r="B3" t="s">
        <v>146</v>
      </c>
      <c r="D3" t="s">
        <v>171</v>
      </c>
      <c r="E3" t="s">
        <v>172</v>
      </c>
    </row>
    <row r="4" spans="1:5" x14ac:dyDescent="0.25">
      <c r="A4" s="4" t="s">
        <v>147</v>
      </c>
      <c r="B4" t="s">
        <v>165</v>
      </c>
      <c r="D4" t="s">
        <v>173</v>
      </c>
      <c r="E4" t="s">
        <v>174</v>
      </c>
    </row>
    <row r="5" spans="1:5" x14ac:dyDescent="0.25">
      <c r="A5" s="4" t="s">
        <v>149</v>
      </c>
      <c r="B5" t="s">
        <v>150</v>
      </c>
      <c r="D5" t="s">
        <v>170</v>
      </c>
      <c r="E5" t="s">
        <v>175</v>
      </c>
    </row>
    <row r="6" spans="1:5" x14ac:dyDescent="0.25">
      <c r="A6" s="4" t="s">
        <v>151</v>
      </c>
      <c r="B6" t="s">
        <v>152</v>
      </c>
      <c r="D6" t="s">
        <v>176</v>
      </c>
      <c r="E6" t="s">
        <v>177</v>
      </c>
    </row>
    <row r="7" spans="1:5" x14ac:dyDescent="0.25">
      <c r="A7" s="4" t="s">
        <v>153</v>
      </c>
      <c r="B7" t="s">
        <v>154</v>
      </c>
      <c r="D7" t="s">
        <v>178</v>
      </c>
      <c r="E7" t="s">
        <v>179</v>
      </c>
    </row>
    <row r="8" spans="1:5" x14ac:dyDescent="0.25">
      <c r="A8" s="4" t="s">
        <v>155</v>
      </c>
      <c r="B8" t="s">
        <v>166</v>
      </c>
      <c r="D8" t="s">
        <v>180</v>
      </c>
      <c r="E8" t="s">
        <v>181</v>
      </c>
    </row>
    <row r="9" spans="1:5" x14ac:dyDescent="0.25">
      <c r="A9" s="4" t="s">
        <v>156</v>
      </c>
      <c r="B9" t="s">
        <v>148</v>
      </c>
      <c r="D9" t="s">
        <v>182</v>
      </c>
      <c r="E9" t="s">
        <v>202</v>
      </c>
    </row>
    <row r="10" spans="1:5" x14ac:dyDescent="0.25">
      <c r="A10" s="4" t="s">
        <v>124</v>
      </c>
      <c r="D10" t="s">
        <v>182</v>
      </c>
      <c r="E10" t="s">
        <v>183</v>
      </c>
    </row>
    <row r="11" spans="1:5" x14ac:dyDescent="0.25">
      <c r="A11" s="4" t="s">
        <v>157</v>
      </c>
      <c r="B11" t="s">
        <v>158</v>
      </c>
      <c r="D11" t="s">
        <v>184</v>
      </c>
      <c r="E11" t="s">
        <v>185</v>
      </c>
    </row>
    <row r="12" spans="1:5" x14ac:dyDescent="0.25">
      <c r="A12" s="4" t="s">
        <v>128</v>
      </c>
      <c r="D12" t="s">
        <v>186</v>
      </c>
      <c r="E12" t="s">
        <v>187</v>
      </c>
    </row>
    <row r="13" spans="1:5" x14ac:dyDescent="0.25">
      <c r="A13" s="4" t="s">
        <v>130</v>
      </c>
      <c r="D13" t="s">
        <v>188</v>
      </c>
      <c r="E13" t="s">
        <v>189</v>
      </c>
    </row>
    <row r="14" spans="1:5" x14ac:dyDescent="0.25">
      <c r="A14" s="4" t="s">
        <v>159</v>
      </c>
      <c r="B14" t="s">
        <v>160</v>
      </c>
      <c r="D14" t="s">
        <v>190</v>
      </c>
      <c r="E14" t="s">
        <v>191</v>
      </c>
    </row>
    <row r="15" spans="1:5" x14ac:dyDescent="0.25">
      <c r="A15" s="4" t="s">
        <v>134</v>
      </c>
      <c r="D15" t="s">
        <v>192</v>
      </c>
      <c r="E15" t="s">
        <v>193</v>
      </c>
    </row>
    <row r="16" spans="1:5" x14ac:dyDescent="0.25">
      <c r="A16" s="4" t="s">
        <v>143</v>
      </c>
      <c r="B16" t="s">
        <v>161</v>
      </c>
      <c r="D16" t="s">
        <v>194</v>
      </c>
      <c r="E16" t="s">
        <v>195</v>
      </c>
    </row>
    <row r="17" spans="1:5" x14ac:dyDescent="0.25">
      <c r="A17" s="4" t="s">
        <v>162</v>
      </c>
      <c r="B17" t="s">
        <v>161</v>
      </c>
      <c r="D17" t="s">
        <v>200</v>
      </c>
      <c r="E17" t="s">
        <v>196</v>
      </c>
    </row>
    <row r="18" spans="1:5" x14ac:dyDescent="0.25">
      <c r="A18" s="2" t="s">
        <v>163</v>
      </c>
      <c r="B18" t="s">
        <v>164</v>
      </c>
      <c r="D18" t="s">
        <v>197</v>
      </c>
      <c r="E18" t="s">
        <v>198</v>
      </c>
    </row>
    <row r="19" spans="1:5" x14ac:dyDescent="0.25">
      <c r="A19" s="4" t="s">
        <v>141</v>
      </c>
      <c r="D19" t="s">
        <v>199</v>
      </c>
      <c r="E1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ELIMINADOS DE ADMITIDOS</vt:lpstr>
      <vt:lpstr>Repetidos con distinta nriprs</vt:lpstr>
      <vt:lpstr>Repetidos en SMA y no en SNIES</vt:lpstr>
      <vt:lpstr>aparecen en los nuevo solamente</vt:lpstr>
      <vt:lpstr>Hoja3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acreditacion</dc:creator>
  <cp:lastModifiedBy>acreditacion</cp:lastModifiedBy>
  <dcterms:created xsi:type="dcterms:W3CDTF">2015-06-05T16:14:21Z</dcterms:created>
  <dcterms:modified xsi:type="dcterms:W3CDTF">2015-06-24T19:55:47Z</dcterms:modified>
</cp:coreProperties>
</file>